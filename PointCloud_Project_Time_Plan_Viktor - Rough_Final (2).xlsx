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tuse-my.sharepoint.com/personal/viklio-3_student_ltu_se/Documents/"/>
    </mc:Choice>
  </mc:AlternateContent>
  <xr:revisionPtr revIDLastSave="0" documentId="8_{C0904B9F-22CD-48C2-A5A3-DBD944F307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1" l="1"/>
  <c r="E50" i="1"/>
  <c r="E49" i="1"/>
  <c r="E48" i="1"/>
  <c r="E46" i="1"/>
  <c r="E44" i="1"/>
  <c r="E43" i="1"/>
  <c r="E42" i="1"/>
  <c r="E41" i="1"/>
  <c r="E40" i="1"/>
  <c r="E39" i="1"/>
  <c r="E37" i="1"/>
  <c r="E36" i="1"/>
  <c r="E35" i="1"/>
  <c r="E34" i="1"/>
  <c r="E33" i="1"/>
  <c r="E31" i="1"/>
  <c r="E30" i="1"/>
  <c r="E29" i="1"/>
  <c r="E28" i="1"/>
  <c r="E27" i="1"/>
  <c r="E25" i="1"/>
  <c r="E24" i="1"/>
  <c r="E23" i="1"/>
  <c r="E22" i="1"/>
  <c r="E21" i="1"/>
  <c r="E20" i="1"/>
</calcChain>
</file>

<file path=xl/sharedStrings.xml><?xml version="1.0" encoding="utf-8"?>
<sst xmlns="http://schemas.openxmlformats.org/spreadsheetml/2006/main" count="67" uniqueCount="65">
  <si>
    <t>Project: Point Cloud Processing - Extracting Railway Track Geometry</t>
  </si>
  <si>
    <t>Project Manager</t>
  </si>
  <si>
    <t>Desired tools to use during the Project</t>
  </si>
  <si>
    <t>Why I have selected this Project?</t>
  </si>
  <si>
    <t>Viktor Lindberg</t>
  </si>
  <si>
    <t>Python</t>
  </si>
  <si>
    <t>Open3D</t>
  </si>
  <si>
    <t>laspy / PDAL</t>
  </si>
  <si>
    <t>Supervisor: Amit Patwardhan</t>
  </si>
  <si>
    <t>NumPy / pandas</t>
  </si>
  <si>
    <t>scikit-learn</t>
  </si>
  <si>
    <t>GitHub</t>
  </si>
  <si>
    <t>Start Date</t>
  </si>
  <si>
    <t>Project title</t>
  </si>
  <si>
    <t>Extract the railway track geometry from point cloud data, and compare it with the abnormal vibration events from the previous course.</t>
  </si>
  <si>
    <t>End Date</t>
  </si>
  <si>
    <t>Milestone</t>
  </si>
  <si>
    <t>Reached Milestone in time</t>
  </si>
  <si>
    <t>Delayed</t>
  </si>
  <si>
    <t>Task Name</t>
  </si>
  <si>
    <t>Status</t>
  </si>
  <si>
    <t>Duration [d]</t>
  </si>
  <si>
    <t>Main Goals</t>
  </si>
  <si>
    <t>1.1 Agree project idea and scope with supervisor</t>
  </si>
  <si>
    <t>1.2 Submit Project Time Plan</t>
  </si>
  <si>
    <t>1.3 Set up tools and GitHub repo - Python, Open3D, laspy, CloudCompare</t>
  </si>
  <si>
    <t>1.6 Write Report 1 - Introduction</t>
  </si>
  <si>
    <t>2.1 Demonstration 1 + hand in Report 1 (Introduction)</t>
  </si>
  <si>
    <t>3.1 Demonstration 2 + hand in Report 2 (Introduction + Method)</t>
  </si>
  <si>
    <t>Measure the geometry of every section and turn the point cloud into a condition table with one row per section, including a track quality index.</t>
  </si>
  <si>
    <t>4.1 Demonstration 3 + hand in Report 3 (Introduction + Method + Results)</t>
  </si>
  <si>
    <t>Place the vibration events from the previous course on the same track positions, and see whether the extracted geometry says anything about why those events happened.</t>
  </si>
  <si>
    <t>4.5 Clean and comment the code, write the README</t>
  </si>
  <si>
    <t>4.6 Prepare Final Demonstration</t>
  </si>
  <si>
    <t>5.1 Final Demonstration</t>
  </si>
  <si>
    <t>Show the full pipeline live - from raw point cloud to condition table and the comparison with the vibration data.</t>
  </si>
  <si>
    <t>6.1 Draft discussion and conclusions</t>
  </si>
  <si>
    <t>Deliver the complete report in the D7016B template and hand in all code on CANVAS.</t>
  </si>
  <si>
    <t>6.2 Assemble the full report in the D7016B template</t>
  </si>
  <si>
    <t>6.3 Hand in Final project Report (complete)</t>
  </si>
  <si>
    <t>6.4 Submit all code on CANVAS</t>
  </si>
  <si>
    <t>Optional Tasks (if time is left):</t>
  </si>
  <si>
    <t>Run the pipeline on a second track section to see if it generalises</t>
  </si>
  <si>
    <t>1.7 Follow up with Amit on receiving data</t>
  </si>
  <si>
    <t>ChatGPT / Claude for coding assistance</t>
  </si>
  <si>
    <t>1.4 Read report from Amit: Sharma et al. (2018) - track geometry faults (gage, cross-level, cant, surface, twist) and TQI</t>
  </si>
  <si>
    <t>In the previous course (D7015B) we analysed abnormal events from track vibration data. The model could say that something was wrong at a location, but not what was wrong. A point cloud gives the actual shape of the track, so I wanted to see if the geometry at those same spots can explain the events, or give more information around it.</t>
  </si>
  <si>
    <t>2.2 Load and clean a point cloud - crop a test section, downsample, remove outliers</t>
  </si>
  <si>
    <t>2.5 Write Report 2 - Method</t>
  </si>
  <si>
    <t>3.5 Write Report 3 - Results</t>
  </si>
  <si>
    <t>Apply further analysis to any correleation between abnomalies and track behaviour</t>
  </si>
  <si>
    <t>CloudCompare (new tool outside vs to visualize dataset)</t>
  </si>
  <si>
    <t>NOTE</t>
  </si>
  <si>
    <t>Data needed could not be fetched. Timeplan is adjusted for and project adapted to data availability</t>
  </si>
  <si>
    <t xml:space="preserve">Get from a raw point cloud to the two extracted rails and a fitted track centreline, and divide the track into fixed sections.  ---&gt; Look into Catmul-rom. </t>
  </si>
  <si>
    <t>Understand what the common track geometry faults are, agree the scope with Amit, and have the tools and a test point cloud ready so the work can start as soon as the LTU data arrives. --&gt; Done but with new dataset --&gt; Meeting set on 2026-06-24</t>
  </si>
  <si>
    <t>&lt;From hereon new project&gt;</t>
  </si>
  <si>
    <t>2.3 Research about Catmul-rom and update report</t>
  </si>
  <si>
    <t>2.4 Load data and first attempt at analyzing it</t>
  </si>
  <si>
    <t>3.2 Clean the data and noise points</t>
  </si>
  <si>
    <t xml:space="preserve">3.3 Create repeatable catmul-rom algorithm </t>
  </si>
  <si>
    <t>3.4 Visualise this in a 3D environment - should be possible to analyze change over time using catmul-rom</t>
  </si>
  <si>
    <t>4.2 Simulate over mutiple runs</t>
  </si>
  <si>
    <t>4.3 Analyze change over time</t>
  </si>
  <si>
    <t>4.4 Explorative study - suggest how future studies could build upon this and these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</si>
</sst>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6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C00000"/>
      </patternFill>
    </fill>
    <fill>
      <patternFill patternType="solid">
        <fgColor rgb="FF595959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1" xfId="0" applyNumberFormat="1" applyBorder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/>
    <xf numFmtId="14" fontId="0" fillId="0" borderId="1" xfId="0" applyNumberFormat="1" applyBorder="1" applyAlignment="1">
      <alignment horizontal="right"/>
    </xf>
    <xf numFmtId="9" fontId="0" fillId="0" borderId="0" xfId="0" applyNumberFormat="1" applyAlignment="1">
      <alignment horizontal="center"/>
    </xf>
    <xf numFmtId="9" fontId="0" fillId="3" borderId="0" xfId="0" applyNumberFormat="1" applyFill="1" applyAlignment="1">
      <alignment horizontal="center"/>
    </xf>
    <xf numFmtId="14" fontId="0" fillId="5" borderId="0" xfId="0" applyNumberFormat="1" applyFill="1"/>
    <xf numFmtId="0" fontId="0" fillId="6" borderId="2" xfId="0" applyFill="1" applyBorder="1"/>
    <xf numFmtId="0" fontId="0" fillId="7" borderId="0" xfId="0" applyFill="1"/>
    <xf numFmtId="14" fontId="0" fillId="8" borderId="0" xfId="0" applyNumberForma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164" fontId="0" fillId="0" borderId="0" xfId="0" applyNumberFormat="1"/>
    <xf numFmtId="164" fontId="0" fillId="4" borderId="0" xfId="0" applyNumberFormat="1" applyFill="1"/>
    <xf numFmtId="164" fontId="0" fillId="3" borderId="0" xfId="0" applyNumberFormat="1" applyFill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9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4" fillId="7" borderId="0" xfId="0" applyFont="1" applyFill="1"/>
    <xf numFmtId="164" fontId="0" fillId="10" borderId="0" xfId="0" applyNumberFormat="1" applyFill="1"/>
    <xf numFmtId="164" fontId="0" fillId="11" borderId="0" xfId="0" applyNumberFormat="1" applyFill="1"/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9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3" xfId="0" applyBorder="1"/>
    <xf numFmtId="0" fontId="1" fillId="0" borderId="3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9F9E2C-EC4C-4E74-82D2-E715C1CDDA67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8ed7c1ba-1a1e-484e-9486-5bde4e11373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B18" zoomScale="87" zoomScaleNormal="100" workbookViewId="0">
      <selection activeCell="F31" sqref="F31"/>
    </sheetView>
  </sheetViews>
  <sheetFormatPr defaultColWidth="11.5546875" defaultRowHeight="14.4" x14ac:dyDescent="0.3"/>
  <cols>
    <col min="1" max="1" width="14.6640625" customWidth="1"/>
    <col min="2" max="2" width="15.6640625" bestFit="1" customWidth="1"/>
    <col min="3" max="3" width="55.88671875" customWidth="1"/>
    <col min="4" max="4" width="25.44140625" customWidth="1"/>
    <col min="7" max="7" width="11.6640625" bestFit="1" customWidth="1"/>
    <col min="8" max="8" width="25.21875" customWidth="1"/>
    <col min="13" max="13" width="13.5546875" customWidth="1"/>
  </cols>
  <sheetData>
    <row r="1" spans="1:16" ht="14.4" customHeight="1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14.4" customHeigh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x14ac:dyDescent="0.3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5" spans="1:16" ht="15.6" x14ac:dyDescent="0.3">
      <c r="B5" s="24" t="s">
        <v>1</v>
      </c>
      <c r="D5" s="38" t="s">
        <v>2</v>
      </c>
      <c r="E5" s="38"/>
      <c r="F5" s="38"/>
      <c r="G5" s="38"/>
      <c r="I5" s="39" t="s">
        <v>3</v>
      </c>
      <c r="J5" s="39"/>
      <c r="K5" s="39"/>
      <c r="L5" s="39"/>
      <c r="M5" s="39"/>
      <c r="N5" s="39"/>
      <c r="O5" s="39"/>
      <c r="P5" s="25"/>
    </row>
    <row r="6" spans="1:16" ht="14.4" customHeight="1" x14ac:dyDescent="0.3">
      <c r="B6" s="36" t="s">
        <v>4</v>
      </c>
      <c r="C6" s="37"/>
      <c r="D6" s="32" t="s">
        <v>5</v>
      </c>
      <c r="E6" s="32"/>
      <c r="F6" s="32"/>
      <c r="G6" s="32"/>
      <c r="I6" s="34" t="s">
        <v>46</v>
      </c>
      <c r="J6" s="34"/>
      <c r="K6" s="34"/>
      <c r="L6" s="34"/>
      <c r="M6" s="34"/>
      <c r="N6" s="34"/>
      <c r="O6" s="34"/>
      <c r="P6" s="22"/>
    </row>
    <row r="7" spans="1:16" x14ac:dyDescent="0.3">
      <c r="B7" s="35" t="s">
        <v>8</v>
      </c>
      <c r="C7" s="32"/>
      <c r="D7" s="32" t="s">
        <v>9</v>
      </c>
      <c r="E7" s="32"/>
      <c r="F7" s="32"/>
      <c r="G7" s="32"/>
      <c r="I7" s="34"/>
      <c r="J7" s="34"/>
      <c r="K7" s="34"/>
      <c r="L7" s="34"/>
      <c r="M7" s="34"/>
      <c r="N7" s="34"/>
      <c r="O7" s="34"/>
      <c r="P7" s="22"/>
    </row>
    <row r="8" spans="1:16" x14ac:dyDescent="0.3">
      <c r="D8" s="32" t="s">
        <v>6</v>
      </c>
      <c r="E8" s="32"/>
      <c r="F8" s="32"/>
      <c r="G8" s="32"/>
      <c r="I8" s="34"/>
      <c r="J8" s="34"/>
      <c r="K8" s="34"/>
      <c r="L8" s="34"/>
      <c r="M8" s="34"/>
      <c r="N8" s="34"/>
      <c r="O8" s="34"/>
      <c r="P8" s="22"/>
    </row>
    <row r="9" spans="1:16" ht="15.6" x14ac:dyDescent="0.3">
      <c r="B9" s="24" t="s">
        <v>12</v>
      </c>
      <c r="D9" s="32" t="s">
        <v>10</v>
      </c>
      <c r="E9" s="32"/>
      <c r="F9" s="32"/>
      <c r="G9" s="32"/>
      <c r="I9" s="34"/>
      <c r="J9" s="34"/>
      <c r="K9" s="34"/>
      <c r="L9" s="34"/>
      <c r="M9" s="34"/>
      <c r="N9" s="34"/>
      <c r="O9" s="34"/>
      <c r="P9" s="22"/>
    </row>
    <row r="10" spans="1:16" x14ac:dyDescent="0.3">
      <c r="B10" s="2">
        <v>46273</v>
      </c>
      <c r="D10" s="32" t="s">
        <v>7</v>
      </c>
      <c r="E10" s="32"/>
      <c r="F10" s="32"/>
      <c r="G10" s="32"/>
      <c r="I10" s="34"/>
      <c r="J10" s="34"/>
      <c r="K10" s="34"/>
      <c r="L10" s="34"/>
      <c r="M10" s="34"/>
      <c r="N10" s="34"/>
      <c r="O10" s="34"/>
    </row>
    <row r="11" spans="1:16" x14ac:dyDescent="0.3">
      <c r="D11" s="32" t="s">
        <v>11</v>
      </c>
      <c r="E11" s="32"/>
      <c r="F11" s="32"/>
      <c r="G11" s="32"/>
      <c r="I11" s="34"/>
      <c r="J11" s="34"/>
      <c r="K11" s="34"/>
      <c r="L11" s="34"/>
      <c r="M11" s="34"/>
      <c r="N11" s="34"/>
      <c r="O11" s="34"/>
    </row>
    <row r="12" spans="1:16" ht="15.6" x14ac:dyDescent="0.3">
      <c r="B12" s="24" t="s">
        <v>15</v>
      </c>
      <c r="D12" s="40" t="s">
        <v>44</v>
      </c>
      <c r="E12" s="40"/>
      <c r="F12" s="40"/>
      <c r="G12" s="40"/>
      <c r="I12" s="34"/>
      <c r="J12" s="34"/>
      <c r="K12" s="34"/>
      <c r="L12" s="34"/>
      <c r="M12" s="34"/>
      <c r="N12" s="34"/>
      <c r="O12" s="34"/>
    </row>
    <row r="13" spans="1:16" x14ac:dyDescent="0.3">
      <c r="B13" s="10">
        <v>46325</v>
      </c>
      <c r="D13" s="40" t="s">
        <v>51</v>
      </c>
      <c r="E13" s="40"/>
      <c r="F13" s="40"/>
      <c r="G13" s="40"/>
      <c r="I13" s="34"/>
      <c r="J13" s="34"/>
      <c r="K13" s="34"/>
      <c r="L13" s="34"/>
      <c r="M13" s="34"/>
      <c r="N13" s="34"/>
      <c r="O13" s="34"/>
    </row>
    <row r="15" spans="1:16" x14ac:dyDescent="0.3">
      <c r="B15" s="9"/>
      <c r="C15" t="s">
        <v>16</v>
      </c>
      <c r="D15" s="4" t="s">
        <v>13</v>
      </c>
    </row>
    <row r="16" spans="1:16" x14ac:dyDescent="0.3">
      <c r="B16" s="13"/>
      <c r="C16" t="s">
        <v>17</v>
      </c>
      <c r="D16" s="33" t="s">
        <v>14</v>
      </c>
      <c r="E16" s="33"/>
      <c r="F16" s="33"/>
      <c r="G16" s="33"/>
    </row>
    <row r="17" spans="2:15" x14ac:dyDescent="0.3">
      <c r="B17" s="16"/>
      <c r="C17" t="s">
        <v>18</v>
      </c>
      <c r="D17" s="33"/>
      <c r="E17" s="33"/>
      <c r="F17" s="33"/>
      <c r="G17" s="33"/>
    </row>
    <row r="19" spans="2:15" x14ac:dyDescent="0.3">
      <c r="B19" s="6"/>
      <c r="C19" s="3" t="s">
        <v>19</v>
      </c>
      <c r="D19" s="3" t="s">
        <v>20</v>
      </c>
      <c r="E19" s="3" t="s">
        <v>21</v>
      </c>
      <c r="F19" s="3" t="s">
        <v>12</v>
      </c>
      <c r="G19" s="3" t="s">
        <v>15</v>
      </c>
      <c r="H19" s="3" t="s">
        <v>52</v>
      </c>
      <c r="I19" s="3" t="s">
        <v>22</v>
      </c>
    </row>
    <row r="20" spans="2:15" ht="14.4" customHeight="1" x14ac:dyDescent="0.3">
      <c r="B20" s="5">
        <v>1</v>
      </c>
      <c r="C20" s="17" t="s">
        <v>23</v>
      </c>
      <c r="D20" s="11">
        <v>1</v>
      </c>
      <c r="E20" s="1">
        <f t="shared" ref="E20:E25" si="0">G20-F20+1</f>
        <v>3</v>
      </c>
      <c r="F20" s="19">
        <v>46272</v>
      </c>
      <c r="G20" s="20">
        <v>46274</v>
      </c>
      <c r="I20" s="34" t="s">
        <v>55</v>
      </c>
      <c r="J20" s="33"/>
      <c r="K20" s="33"/>
      <c r="L20" s="33"/>
      <c r="M20" s="33"/>
      <c r="N20" s="33"/>
      <c r="O20" s="33"/>
    </row>
    <row r="21" spans="2:15" x14ac:dyDescent="0.3">
      <c r="B21" s="5"/>
      <c r="C21" s="17" t="s">
        <v>24</v>
      </c>
      <c r="D21" s="11">
        <v>1</v>
      </c>
      <c r="E21" s="1">
        <f t="shared" si="0"/>
        <v>2</v>
      </c>
      <c r="F21" s="19">
        <v>46274</v>
      </c>
      <c r="G21" s="19">
        <v>46275</v>
      </c>
      <c r="I21" s="33"/>
      <c r="J21" s="33"/>
      <c r="K21" s="33"/>
      <c r="L21" s="33"/>
      <c r="M21" s="33"/>
      <c r="N21" s="33"/>
      <c r="O21" s="33"/>
    </row>
    <row r="22" spans="2:15" ht="28.8" x14ac:dyDescent="0.3">
      <c r="B22" s="5"/>
      <c r="C22" s="17" t="s">
        <v>25</v>
      </c>
      <c r="D22" s="11">
        <v>1</v>
      </c>
      <c r="E22" s="1">
        <f t="shared" si="0"/>
        <v>7</v>
      </c>
      <c r="F22" s="19">
        <v>46276</v>
      </c>
      <c r="G22" s="27">
        <v>46282</v>
      </c>
      <c r="I22" s="33"/>
      <c r="J22" s="33"/>
      <c r="K22" s="33"/>
      <c r="L22" s="33"/>
      <c r="M22" s="33"/>
      <c r="N22" s="33"/>
      <c r="O22" s="33"/>
    </row>
    <row r="23" spans="2:15" ht="28.8" x14ac:dyDescent="0.3">
      <c r="B23" s="5"/>
      <c r="C23" s="23" t="s">
        <v>45</v>
      </c>
      <c r="D23" s="11">
        <v>1</v>
      </c>
      <c r="E23" s="1">
        <f t="shared" si="0"/>
        <v>4</v>
      </c>
      <c r="F23" s="19">
        <v>46279</v>
      </c>
      <c r="G23" s="19">
        <v>46282</v>
      </c>
      <c r="I23" s="33"/>
      <c r="J23" s="33"/>
      <c r="K23" s="33"/>
      <c r="L23" s="33"/>
      <c r="M23" s="33"/>
      <c r="N23" s="33"/>
      <c r="O23" s="33"/>
    </row>
    <row r="24" spans="2:15" x14ac:dyDescent="0.3">
      <c r="B24" s="5"/>
      <c r="C24" s="17" t="s">
        <v>26</v>
      </c>
      <c r="D24" s="11">
        <v>1</v>
      </c>
      <c r="E24" s="1">
        <f t="shared" si="0"/>
        <v>4</v>
      </c>
      <c r="F24" s="19">
        <v>46280</v>
      </c>
      <c r="G24" s="28">
        <v>46283</v>
      </c>
      <c r="I24" s="33"/>
      <c r="J24" s="33"/>
      <c r="K24" s="33"/>
      <c r="L24" s="33"/>
      <c r="M24" s="33"/>
      <c r="N24" s="33"/>
      <c r="O24" s="33"/>
    </row>
    <row r="25" spans="2:15" x14ac:dyDescent="0.3">
      <c r="B25" s="5"/>
      <c r="C25" s="23" t="s">
        <v>43</v>
      </c>
      <c r="D25" s="11">
        <v>1</v>
      </c>
      <c r="E25" s="1">
        <f t="shared" si="0"/>
        <v>3</v>
      </c>
      <c r="F25" s="19">
        <v>46281</v>
      </c>
      <c r="G25" s="19">
        <v>46283</v>
      </c>
      <c r="I25" s="33"/>
      <c r="J25" s="33"/>
      <c r="K25" s="33"/>
      <c r="L25" s="33"/>
      <c r="M25" s="33"/>
      <c r="N25" s="33"/>
      <c r="O25" s="33"/>
    </row>
    <row r="26" spans="2:15" x14ac:dyDescent="0.3">
      <c r="B26" s="7"/>
      <c r="C26" s="18"/>
      <c r="D26" s="12"/>
      <c r="E26" s="8"/>
      <c r="F26" s="21"/>
      <c r="G26" s="21"/>
    </row>
    <row r="27" spans="2:15" ht="14.4" customHeight="1" x14ac:dyDescent="0.3">
      <c r="B27" s="5">
        <v>2</v>
      </c>
      <c r="C27" s="17" t="s">
        <v>27</v>
      </c>
      <c r="D27" s="11">
        <v>1</v>
      </c>
      <c r="E27" s="1">
        <f>G27-F27+1</f>
        <v>1</v>
      </c>
      <c r="F27" s="19">
        <v>46283</v>
      </c>
      <c r="G27" s="20">
        <v>46283</v>
      </c>
      <c r="H27" s="30" t="s">
        <v>53</v>
      </c>
      <c r="I27" s="34" t="s">
        <v>54</v>
      </c>
      <c r="J27" s="33"/>
      <c r="K27" s="33"/>
      <c r="L27" s="33"/>
      <c r="M27" s="33"/>
      <c r="N27" s="33"/>
      <c r="O27" s="33"/>
    </row>
    <row r="28" spans="2:15" ht="28.8" x14ac:dyDescent="0.3">
      <c r="B28" s="5"/>
      <c r="C28" s="23" t="s">
        <v>47</v>
      </c>
      <c r="D28" s="11">
        <v>1</v>
      </c>
      <c r="E28" s="1">
        <f>G28-F28+1</f>
        <v>3</v>
      </c>
      <c r="F28" s="19">
        <v>46286</v>
      </c>
      <c r="G28" s="19">
        <v>46288</v>
      </c>
      <c r="H28" s="30"/>
      <c r="I28" s="33"/>
      <c r="J28" s="33"/>
      <c r="K28" s="33"/>
      <c r="L28" s="33"/>
      <c r="M28" s="33"/>
      <c r="N28" s="33"/>
      <c r="O28" s="33"/>
    </row>
    <row r="29" spans="2:15" x14ac:dyDescent="0.3">
      <c r="B29" s="5"/>
      <c r="C29" s="23" t="s">
        <v>57</v>
      </c>
      <c r="D29" s="11">
        <v>1</v>
      </c>
      <c r="E29" s="1">
        <f>G29-F29+1</f>
        <v>5</v>
      </c>
      <c r="F29" s="19">
        <v>46289</v>
      </c>
      <c r="G29" s="19">
        <v>46293</v>
      </c>
      <c r="H29" s="29" t="s">
        <v>56</v>
      </c>
      <c r="I29" s="33"/>
      <c r="J29" s="33"/>
      <c r="K29" s="33"/>
      <c r="L29" s="33"/>
      <c r="M29" s="33"/>
      <c r="N29" s="33"/>
      <c r="O29" s="33"/>
    </row>
    <row r="30" spans="2:15" x14ac:dyDescent="0.3">
      <c r="B30" s="5"/>
      <c r="C30" s="23" t="s">
        <v>58</v>
      </c>
      <c r="D30" s="11">
        <v>1</v>
      </c>
      <c r="E30" s="1">
        <f>G30-F30+1</f>
        <v>3</v>
      </c>
      <c r="F30" s="19">
        <v>46294</v>
      </c>
      <c r="G30" s="19">
        <v>46296</v>
      </c>
      <c r="H30" s="29"/>
      <c r="I30" s="33"/>
      <c r="J30" s="33"/>
      <c r="K30" s="33"/>
      <c r="L30" s="33"/>
      <c r="M30" s="33"/>
      <c r="N30" s="33"/>
      <c r="O30" s="33"/>
    </row>
    <row r="31" spans="2:15" x14ac:dyDescent="0.3">
      <c r="B31" s="5"/>
      <c r="C31" s="17" t="s">
        <v>48</v>
      </c>
      <c r="D31" s="11">
        <v>0</v>
      </c>
      <c r="E31" s="1">
        <f>G31-F31+1</f>
        <v>7</v>
      </c>
      <c r="F31" s="19">
        <v>46294</v>
      </c>
      <c r="G31" s="19">
        <v>46300</v>
      </c>
      <c r="H31" s="29"/>
      <c r="I31" s="33"/>
      <c r="J31" s="33"/>
      <c r="K31" s="33"/>
      <c r="L31" s="33"/>
      <c r="M31" s="33"/>
      <c r="N31" s="33"/>
      <c r="O31" s="33"/>
    </row>
    <row r="32" spans="2:15" x14ac:dyDescent="0.3">
      <c r="B32" s="7"/>
      <c r="C32" s="18"/>
      <c r="D32" s="12"/>
      <c r="E32" s="8"/>
      <c r="F32" s="21"/>
      <c r="G32" s="21"/>
    </row>
    <row r="33" spans="2:15" ht="14.4" customHeight="1" x14ac:dyDescent="0.3">
      <c r="B33" s="5">
        <v>3</v>
      </c>
      <c r="C33" s="17" t="s">
        <v>28</v>
      </c>
      <c r="D33" s="11">
        <v>0</v>
      </c>
      <c r="E33" s="1">
        <f>G33-F33+1</f>
        <v>1</v>
      </c>
      <c r="F33" s="19">
        <v>46300</v>
      </c>
      <c r="G33" s="20">
        <v>46300</v>
      </c>
      <c r="I33" s="33" t="s">
        <v>29</v>
      </c>
      <c r="J33" s="33"/>
      <c r="K33" s="33"/>
      <c r="L33" s="33"/>
      <c r="M33" s="33"/>
      <c r="N33" s="33"/>
      <c r="O33" s="33"/>
    </row>
    <row r="34" spans="2:15" x14ac:dyDescent="0.3">
      <c r="B34" s="5"/>
      <c r="C34" s="23" t="s">
        <v>59</v>
      </c>
      <c r="D34" s="11">
        <v>0</v>
      </c>
      <c r="E34" s="1">
        <f>G34-F34+1</f>
        <v>6</v>
      </c>
      <c r="F34" s="19">
        <v>46300</v>
      </c>
      <c r="G34" s="19">
        <v>46305</v>
      </c>
      <c r="I34" s="33"/>
      <c r="J34" s="33"/>
      <c r="K34" s="33"/>
      <c r="L34" s="33"/>
      <c r="M34" s="33"/>
      <c r="N34" s="33"/>
      <c r="O34" s="33"/>
    </row>
    <row r="35" spans="2:15" x14ac:dyDescent="0.3">
      <c r="B35" s="5"/>
      <c r="C35" s="23" t="s">
        <v>60</v>
      </c>
      <c r="D35" s="11">
        <v>0</v>
      </c>
      <c r="E35" s="1">
        <f>G35-F35+1</f>
        <v>4</v>
      </c>
      <c r="F35" s="19">
        <v>46306</v>
      </c>
      <c r="G35" s="19">
        <v>46309</v>
      </c>
      <c r="I35" s="33"/>
      <c r="J35" s="33"/>
      <c r="K35" s="33"/>
      <c r="L35" s="33"/>
      <c r="M35" s="33"/>
      <c r="N35" s="33"/>
      <c r="O35" s="33"/>
    </row>
    <row r="36" spans="2:15" ht="28.8" x14ac:dyDescent="0.3">
      <c r="B36" s="5"/>
      <c r="C36" s="23" t="s">
        <v>61</v>
      </c>
      <c r="D36" s="11">
        <v>0</v>
      </c>
      <c r="E36" s="1">
        <f>G36-F36+1</f>
        <v>3</v>
      </c>
      <c r="F36" s="19">
        <v>46308</v>
      </c>
      <c r="G36" s="19">
        <v>46310</v>
      </c>
      <c r="I36" s="33"/>
      <c r="J36" s="33"/>
      <c r="K36" s="33"/>
      <c r="L36" s="33"/>
      <c r="M36" s="33"/>
      <c r="N36" s="33"/>
      <c r="O36" s="33"/>
    </row>
    <row r="37" spans="2:15" x14ac:dyDescent="0.3">
      <c r="B37" s="5"/>
      <c r="C37" s="17" t="s">
        <v>49</v>
      </c>
      <c r="D37" s="11">
        <v>0</v>
      </c>
      <c r="E37" s="1">
        <f>G37-F37+1</f>
        <v>4</v>
      </c>
      <c r="F37" s="19">
        <v>46308</v>
      </c>
      <c r="G37" s="19">
        <v>46311</v>
      </c>
      <c r="I37" s="33"/>
      <c r="J37" s="33"/>
      <c r="K37" s="33"/>
      <c r="L37" s="33"/>
      <c r="M37" s="33"/>
      <c r="N37" s="33"/>
      <c r="O37" s="33"/>
    </row>
    <row r="38" spans="2:15" x14ac:dyDescent="0.3">
      <c r="B38" s="7"/>
      <c r="C38" s="18"/>
      <c r="D38" s="12"/>
      <c r="E38" s="8"/>
      <c r="F38" s="21"/>
      <c r="G38" s="21"/>
    </row>
    <row r="39" spans="2:15" ht="28.8" customHeight="1" x14ac:dyDescent="0.3">
      <c r="B39" s="5">
        <v>4</v>
      </c>
      <c r="C39" s="17" t="s">
        <v>30</v>
      </c>
      <c r="D39" s="11">
        <v>0</v>
      </c>
      <c r="E39" s="1">
        <f t="shared" ref="E39:E44" si="1">G39-F39+1</f>
        <v>1</v>
      </c>
      <c r="F39" s="19">
        <v>46311</v>
      </c>
      <c r="G39" s="20">
        <v>46311</v>
      </c>
      <c r="I39" s="33" t="s">
        <v>31</v>
      </c>
      <c r="J39" s="33"/>
      <c r="K39" s="33"/>
      <c r="L39" s="33"/>
      <c r="M39" s="33"/>
      <c r="N39" s="33"/>
      <c r="O39" s="33"/>
    </row>
    <row r="40" spans="2:15" x14ac:dyDescent="0.3">
      <c r="B40" s="5"/>
      <c r="C40" s="23" t="s">
        <v>62</v>
      </c>
      <c r="D40" s="11">
        <v>0</v>
      </c>
      <c r="E40" s="1">
        <f t="shared" si="1"/>
        <v>4</v>
      </c>
      <c r="F40" s="19">
        <v>46314</v>
      </c>
      <c r="G40" s="19">
        <v>46317</v>
      </c>
      <c r="I40" s="33"/>
      <c r="J40" s="33"/>
      <c r="K40" s="33"/>
      <c r="L40" s="33"/>
      <c r="M40" s="33"/>
      <c r="N40" s="33"/>
      <c r="O40" s="33"/>
    </row>
    <row r="41" spans="2:15" x14ac:dyDescent="0.3">
      <c r="B41" s="5"/>
      <c r="C41" s="23" t="s">
        <v>63</v>
      </c>
      <c r="D41" s="11">
        <v>0</v>
      </c>
      <c r="E41" s="1">
        <f t="shared" si="1"/>
        <v>3</v>
      </c>
      <c r="F41" s="19">
        <v>46316</v>
      </c>
      <c r="G41" s="19">
        <v>46318</v>
      </c>
      <c r="I41" s="33"/>
      <c r="J41" s="33"/>
      <c r="K41" s="33"/>
      <c r="L41" s="33"/>
      <c r="M41" s="33"/>
      <c r="N41" s="33"/>
      <c r="O41" s="33"/>
    </row>
    <row r="42" spans="2:15" ht="28.8" x14ac:dyDescent="0.3">
      <c r="B42" s="5"/>
      <c r="C42" s="23" t="s">
        <v>64</v>
      </c>
      <c r="D42" s="11">
        <v>0</v>
      </c>
      <c r="E42" s="1">
        <f t="shared" si="1"/>
        <v>5</v>
      </c>
      <c r="F42" s="19">
        <v>46317</v>
      </c>
      <c r="G42" s="19">
        <v>46321</v>
      </c>
      <c r="I42" s="33"/>
      <c r="J42" s="33"/>
      <c r="K42" s="33"/>
      <c r="L42" s="33"/>
      <c r="M42" s="33"/>
      <c r="N42" s="33"/>
      <c r="O42" s="33"/>
    </row>
    <row r="43" spans="2:15" x14ac:dyDescent="0.3">
      <c r="B43" s="5"/>
      <c r="C43" s="23" t="s">
        <v>32</v>
      </c>
      <c r="D43" s="11">
        <v>0</v>
      </c>
      <c r="E43" s="1">
        <f t="shared" si="1"/>
        <v>4</v>
      </c>
      <c r="F43" s="19">
        <v>46318</v>
      </c>
      <c r="G43" s="19">
        <v>46321</v>
      </c>
      <c r="I43" s="33"/>
      <c r="J43" s="33"/>
      <c r="K43" s="33"/>
      <c r="L43" s="33"/>
      <c r="M43" s="33"/>
      <c r="N43" s="33"/>
      <c r="O43" s="33"/>
    </row>
    <row r="44" spans="2:15" x14ac:dyDescent="0.3">
      <c r="B44" s="5"/>
      <c r="C44" s="17" t="s">
        <v>33</v>
      </c>
      <c r="D44" s="11">
        <v>0</v>
      </c>
      <c r="E44" s="1">
        <f t="shared" si="1"/>
        <v>2</v>
      </c>
      <c r="F44" s="19">
        <v>46321</v>
      </c>
      <c r="G44" s="19">
        <v>46322</v>
      </c>
      <c r="I44" s="33"/>
      <c r="J44" s="33"/>
      <c r="K44" s="33"/>
      <c r="L44" s="33"/>
      <c r="M44" s="33"/>
      <c r="N44" s="33"/>
      <c r="O44" s="33"/>
    </row>
    <row r="45" spans="2:15" x14ac:dyDescent="0.3">
      <c r="B45" s="7"/>
      <c r="C45" s="18"/>
      <c r="D45" s="12"/>
      <c r="E45" s="8"/>
      <c r="F45" s="21"/>
      <c r="G45" s="21"/>
    </row>
    <row r="46" spans="2:15" ht="14.4" customHeight="1" x14ac:dyDescent="0.3">
      <c r="B46" s="5">
        <v>5</v>
      </c>
      <c r="C46" s="17" t="s">
        <v>34</v>
      </c>
      <c r="D46" s="11">
        <v>0</v>
      </c>
      <c r="E46" s="1">
        <f>G46-F46+1</f>
        <v>1</v>
      </c>
      <c r="F46" s="19">
        <v>46323</v>
      </c>
      <c r="G46" s="20">
        <v>46323</v>
      </c>
      <c r="I46" s="33" t="s">
        <v>35</v>
      </c>
      <c r="J46" s="33"/>
      <c r="K46" s="33"/>
      <c r="L46" s="33"/>
      <c r="M46" s="33"/>
      <c r="N46" s="33"/>
      <c r="O46" s="33"/>
    </row>
    <row r="47" spans="2:15" x14ac:dyDescent="0.3">
      <c r="B47" s="7"/>
      <c r="C47" s="18"/>
      <c r="D47" s="12"/>
      <c r="E47" s="8"/>
      <c r="F47" s="21"/>
      <c r="G47" s="21"/>
    </row>
    <row r="48" spans="2:15" ht="14.4" customHeight="1" x14ac:dyDescent="0.3">
      <c r="B48" s="5">
        <v>6</v>
      </c>
      <c r="C48" s="17" t="s">
        <v>36</v>
      </c>
      <c r="D48" s="11">
        <v>0</v>
      </c>
      <c r="E48" s="1">
        <f>G48-F48+1</f>
        <v>7</v>
      </c>
      <c r="F48" s="19">
        <v>46315</v>
      </c>
      <c r="G48" s="19">
        <v>46321</v>
      </c>
      <c r="I48" s="33" t="s">
        <v>37</v>
      </c>
      <c r="J48" s="33"/>
      <c r="K48" s="33"/>
      <c r="L48" s="33"/>
      <c r="M48" s="33"/>
      <c r="N48" s="33"/>
      <c r="O48" s="33"/>
    </row>
    <row r="49" spans="2:15" x14ac:dyDescent="0.3">
      <c r="B49" s="5"/>
      <c r="C49" s="17" t="s">
        <v>38</v>
      </c>
      <c r="D49" s="11">
        <v>0</v>
      </c>
      <c r="E49" s="1">
        <f>G49-F49+1</f>
        <v>3</v>
      </c>
      <c r="F49" s="19">
        <v>46321</v>
      </c>
      <c r="G49" s="19">
        <v>46323</v>
      </c>
      <c r="I49" s="33"/>
      <c r="J49" s="33"/>
      <c r="K49" s="33"/>
      <c r="L49" s="33"/>
      <c r="M49" s="33"/>
      <c r="N49" s="33"/>
      <c r="O49" s="33"/>
    </row>
    <row r="50" spans="2:15" x14ac:dyDescent="0.3">
      <c r="B50" s="5"/>
      <c r="C50" s="17" t="s">
        <v>39</v>
      </c>
      <c r="D50" s="11">
        <v>0</v>
      </c>
      <c r="E50" s="1">
        <f>G50-F50+1</f>
        <v>1</v>
      </c>
      <c r="F50" s="19">
        <v>46323</v>
      </c>
      <c r="G50" s="20">
        <v>46323</v>
      </c>
      <c r="I50" s="33"/>
      <c r="J50" s="33"/>
      <c r="K50" s="33"/>
      <c r="L50" s="33"/>
      <c r="M50" s="33"/>
      <c r="N50" s="33"/>
      <c r="O50" s="33"/>
    </row>
    <row r="51" spans="2:15" x14ac:dyDescent="0.3">
      <c r="B51" s="5"/>
      <c r="C51" s="17" t="s">
        <v>40</v>
      </c>
      <c r="D51" s="11">
        <v>0</v>
      </c>
      <c r="E51" s="1">
        <f>G51-F51+1</f>
        <v>2</v>
      </c>
      <c r="F51" s="19">
        <v>46324</v>
      </c>
      <c r="G51" s="20">
        <v>46325</v>
      </c>
      <c r="I51" s="33"/>
      <c r="J51" s="33"/>
      <c r="K51" s="33"/>
      <c r="L51" s="33"/>
      <c r="M51" s="33"/>
      <c r="N51" s="33"/>
      <c r="O51" s="33"/>
    </row>
    <row r="53" spans="2:15" x14ac:dyDescent="0.3">
      <c r="C53" s="14" t="s">
        <v>41</v>
      </c>
    </row>
    <row r="54" spans="2:15" x14ac:dyDescent="0.3">
      <c r="C54" s="15" t="s">
        <v>42</v>
      </c>
    </row>
    <row r="55" spans="2:15" x14ac:dyDescent="0.3">
      <c r="C55" s="26" t="s">
        <v>50</v>
      </c>
    </row>
  </sheetData>
  <mergeCells count="22">
    <mergeCell ref="I48:O51"/>
    <mergeCell ref="D10:G10"/>
    <mergeCell ref="I27:O31"/>
    <mergeCell ref="I33:O37"/>
    <mergeCell ref="I39:O44"/>
    <mergeCell ref="I46:O46"/>
    <mergeCell ref="H27:H28"/>
    <mergeCell ref="A1:P3"/>
    <mergeCell ref="D16:G17"/>
    <mergeCell ref="I20:O25"/>
    <mergeCell ref="B7:C7"/>
    <mergeCell ref="B6:C6"/>
    <mergeCell ref="D8:G8"/>
    <mergeCell ref="D7:G7"/>
    <mergeCell ref="D6:G6"/>
    <mergeCell ref="D5:G5"/>
    <mergeCell ref="I6:O13"/>
    <mergeCell ref="I5:O5"/>
    <mergeCell ref="D12:G12"/>
    <mergeCell ref="D9:G9"/>
    <mergeCell ref="D13:G13"/>
    <mergeCell ref="D11:G11"/>
  </mergeCells>
  <conditionalFormatting sqref="D20:D51">
    <cfRule type="dataBar" priority="3">
      <dataBar>
        <cfvo type="num" val="0"/>
        <cfvo type="num" val="1"/>
        <color theme="9" tint="0.39997558519241921"/>
      </dataBar>
    </cfRule>
  </conditionalFormatting>
  <conditionalFormatting sqref="G20:G25 G27:G31 G33:G37 G39:G44 G46 G48:G51">
    <cfRule type="expression" dxfId="1" priority="1" stopIfTrue="1">
      <formula>$D20=1</formula>
    </cfRule>
    <cfRule type="expression" dxfId="0" priority="2">
      <formula>AND($D20&lt;1,$G20&lt;TODAY())</formula>
    </cfRule>
  </conditionalFormatting>
  <dataValidations count="1">
    <dataValidation type="list" allowBlank="1" showInputMessage="1" showErrorMessage="1" sqref="D20:D51" xr:uid="{00000000-0002-0000-0000-000000000000}">
      <formula1>"0%,25%,50%,75%,100%"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1E38323335DD41A90A4B5E9CB3C6CA" ma:contentTypeVersion="9" ma:contentTypeDescription="Create a new document." ma:contentTypeScope="" ma:versionID="b3634e145e5b32cd575c0695baa724db">
  <xsd:schema xmlns:xsd="http://www.w3.org/2001/XMLSchema" xmlns:xs="http://www.w3.org/2001/XMLSchema" xmlns:p="http://schemas.microsoft.com/office/2006/metadata/properties" xmlns:ns3="76ca4f91-eb2a-4106-a0a0-28221db387de" xmlns:ns4="ecef2fa7-c193-44c0-bcae-1928c0cae763" targetNamespace="http://schemas.microsoft.com/office/2006/metadata/properties" ma:root="true" ma:fieldsID="0a10e196ece3972ff9737fec60bf519e" ns3:_="" ns4:_="">
    <xsd:import namespace="76ca4f91-eb2a-4106-a0a0-28221db387de"/>
    <xsd:import namespace="ecef2fa7-c193-44c0-bcae-1928c0cae7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a4f91-eb2a-4106-a0a0-28221db38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ef2fa7-c193-44c0-bcae-1928c0cae7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ca4f91-eb2a-4106-a0a0-28221db387de" xsi:nil="true"/>
  </documentManagement>
</p:properties>
</file>

<file path=customXml/itemProps1.xml><?xml version="1.0" encoding="utf-8"?>
<ds:datastoreItem xmlns:ds="http://schemas.openxmlformats.org/officeDocument/2006/customXml" ds:itemID="{4B087F1B-F6A0-4F64-9AD0-ABAFD232C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a4f91-eb2a-4106-a0a0-28221db387de"/>
    <ds:schemaRef ds:uri="ecef2fa7-c193-44c0-bcae-1928c0cae7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2F3B03-7687-4D76-94D0-DEE6D0263A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BBFC90-D56F-4328-BB3D-C376EB22966C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ecef2fa7-c193-44c0-bcae-1928c0cae763"/>
    <ds:schemaRef ds:uri="76ca4f91-eb2a-4106-a0a0-28221db387d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XR for Maintenance - Project Time Plan</dc:title>
  <dc:creator>Elias Milton; Viktor Lindberg</dc:creator>
  <cp:lastModifiedBy>Viktor Lindberg</cp:lastModifiedBy>
  <dcterms:created xsi:type="dcterms:W3CDTF">2026-09-04T10:52:44Z</dcterms:created>
  <dcterms:modified xsi:type="dcterms:W3CDTF">2026-10-05T12:29:39Z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0x010100381E38323335DD41A90A4B5E9CB3C6CA</vt:lpwstr>
  </property>
</Properties>
</file>